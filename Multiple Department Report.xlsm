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9b1dd7d6d86e61/Documents/Analyst Builder/Other Personal Projects/"/>
    </mc:Choice>
  </mc:AlternateContent>
  <xr:revisionPtr revIDLastSave="215" documentId="13_ncr:1_{359A3FF6-C45F-4B1E-960C-194462FE0CDA}" xr6:coauthVersionLast="47" xr6:coauthVersionMax="47" xr10:uidLastSave="{EF82C536-3C53-4F5D-B49A-87D8B581C1F8}"/>
  <bookViews>
    <workbookView xWindow="-108" yWindow="-108" windowWidth="23256" windowHeight="12456" tabRatio="904" activeTab="3" xr2:uid="{ED6C2A59-DCCD-4AB2-B6B2-631BCE99ED7F}"/>
  </bookViews>
  <sheets>
    <sheet name="Email" sheetId="79" r:id="rId1"/>
    <sheet name="DeptReport1" sheetId="80" r:id="rId2"/>
    <sheet name="DeptReport2" sheetId="81" r:id="rId3"/>
    <sheet name="DeptReport3" sheetId="82" r:id="rId4"/>
  </sheets>
  <definedNames>
    <definedName name="_xleta.INDEX" hidden="1" xlm="1">#NAME?</definedName>
    <definedName name="BenefitsAmbassadorsTable">OFFSET(Email!$A$1,1,,COUNTA(Email!$A$1:$A$25)-1,7)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9" l="1"/>
  <c r="B4" i="79"/>
  <c r="B5" i="79"/>
  <c r="B6" i="79"/>
  <c r="B7" i="79"/>
  <c r="B8" i="79"/>
  <c r="B9" i="79"/>
  <c r="B10" i="79"/>
  <c r="B11" i="79"/>
  <c r="B12" i="79"/>
  <c r="B13" i="79"/>
  <c r="B14" i="79"/>
  <c r="B2" i="79"/>
  <c r="J2" i="79" a="1"/>
  <c r="J2" i="7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64D827-D979-40B9-859E-1C6E1D6DB816}" keepAlive="1" name="Query - Contact Info  Basic Report (2)" description="Connection to the 'Contact Info  Basic Report (2)' query in the workbook." type="5" refreshedVersion="0" background="1">
    <dbPr connection="Provider=Microsoft.Mashup.OleDb.1;Data Source=$Workbook$;Location=&quot;Contact Info  Basic Report (2)&quot;;Extended Properties=&quot;&quot;" command="SELECT * FROM [Contact Info  Basic Report (2)]"/>
  </connection>
  <connection id="2" xr16:uid="{47EF867D-1709-4682-A61A-AF3B34AC65C2}" keepAlive="1" name="Query - Contact Info  Basic Report (3)" description="Connection to the 'Contact Info  Basic Report (3)' query in the workbook." type="5" refreshedVersion="0" background="1">
    <dbPr connection="Provider=Microsoft.Mashup.OleDb.1;Data Source=$Workbook$;Location=&quot;Contact Info  Basic Report (3)&quot;;Extended Properties=&quot;&quot;" command="SELECT * FROM [Contact Info  Basic Report (3)]"/>
  </connection>
  <connection id="3" xr16:uid="{D08C4590-B546-4848-810B-5055156F151A}" keepAlive="1" name="Query - Contact Info  Basic Report(1)" description="Connection to the 'Contact Info  Basic Report' query in the workbook." type="5" refreshedVersion="0" background="1" saveData="1">
    <dbPr connection="Provider=Microsoft.Mashup.OleDb.1;Data Source=$Workbook$;Location=&quot;Contact Info  Basic Report&quot;;Extended Properties=&quot;&quot;" command="SELECT * FROM [Contact Info  Basic Report]"/>
  </connection>
  <connection id="4" xr16:uid="{A4EF1EE7-522F-4303-955F-2B0F186E7D50}" keepAlive="1" name="Query - Sheet1" description="Connection to the 'Sheet1' query in the workbook." type="5" refreshedVersion="0" background="1">
    <dbPr connection="Provider=Microsoft.Mashup.OleDb.1;Data Source=$Workbook$;Location=Sheet1;Extended Properties=&quot;&quot;" command="SELECT * FROM [Sheet1]"/>
  </connection>
  <connection id="5" xr16:uid="{DD4E4DB9-D795-45FC-BF1C-665B17596C17}" keepAlive="1" name="Query - Sheet1 (2)" description="Connection to the 'Sheet1 (2)' query in the workbook." type="5" refreshedVersion="0" background="1">
    <dbPr connection="Provider=Microsoft.Mashup.OleDb.1;Data Source=$Workbook$;Location=&quot;Sheet1 (2)&quot;;Extended Properties=&quot;&quot;" command="SELECT * FROM [Sheet1 (2)]"/>
  </connection>
  <connection id="6" xr16:uid="{0B33233E-F6F0-44BC-8B2E-326A50B4321C}" keepAlive="1" name="Query - Worker Assignment Report" description="Connection to the 'Worker Assignment Report' query in the workbook." type="5" refreshedVersion="8" background="1" saveData="1">
    <dbPr connection="Provider=Microsoft.Mashup.OleDb.1;Data Source=$Workbook$;Location=&quot;Worker Assignment Report&quot;;Extended Properties=&quot;&quot;" command="SELECT * FROM [Worker Assignment Report]"/>
  </connection>
  <connection id="7" xr16:uid="{3CA04F9B-5B0A-4F99-839C-CE28EF2EAA41}" keepAlive="1" name="Query - Worker Assignment Report (2)" description="Connection to the 'Worker Assignment Report (2)' query in the workbook." type="5" refreshedVersion="8" background="1" saveData="1">
    <dbPr connection="Provider=Microsoft.Mashup.OleDb.1;Data Source=$Workbook$;Location=&quot;Worker Assignment Report (2)&quot;;Extended Properties=&quot;&quot;" command="SELECT * FROM [Worker Assignment Report (2)]"/>
  </connection>
  <connection id="8" xr16:uid="{9E83A148-44E7-41AF-94BB-9EB55540A3BA}" keepAlive="1" name="Query - Worker Assignment Report (3)" description="Connection to the 'Worker Assignment Report (3)' query in the workbook." type="5" refreshedVersion="0" background="1" saveData="1">
    <dbPr connection="Provider=Microsoft.Mashup.OleDb.1;Data Source=$Workbook$;Location=&quot;Worker Assignment Report (3)&quot;;Extended Properties=&quot;&quot;" command="SELECT * FROM [Worker Assignment Report (3)]"/>
  </connection>
  <connection id="9" xr16:uid="{A22F28EF-1FA0-4844-B59C-B5BAD5CAAFB4}" keepAlive="1" name="Query - Worker Assignment Report (4)" description="Connection to the 'Worker Assignment Report (4)' query in the workbook." type="5" refreshedVersion="8" background="1" saveData="1">
    <dbPr connection="Provider=Microsoft.Mashup.OleDb.1;Data Source=$Workbook$;Location=&quot;Worker Assignment Report (4)&quot;;Extended Properties=&quot;&quot;" command="SELECT * FROM [Worker Assignment Report (4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<sst xmlns="http://schemas.openxmlformats.org/spreadsheetml/2006/main" count="257" uniqueCount="175">
  <si>
    <t>Dept</t>
  </si>
  <si>
    <t>File Name</t>
  </si>
  <si>
    <t>Director</t>
  </si>
  <si>
    <t>Benefits Ambassador</t>
  </si>
  <si>
    <t>Email Addresses</t>
  </si>
  <si>
    <t>Send</t>
  </si>
  <si>
    <t>Sent On</t>
  </si>
  <si>
    <t>Table Row</t>
  </si>
  <si>
    <t>Variable</t>
  </si>
  <si>
    <t>Email Template</t>
  </si>
  <si>
    <t>Email</t>
  </si>
  <si>
    <t>#DEPT#</t>
  </si>
  <si>
    <t>Subject</t>
  </si>
  <si>
    <t>Today</t>
  </si>
  <si>
    <t>#TODAY#</t>
  </si>
  <si>
    <t>Body</t>
  </si>
  <si>
    <t>CSD</t>
  </si>
  <si>
    <t>File Extension</t>
  </si>
  <si>
    <t>HR</t>
  </si>
  <si>
    <t>FIN</t>
  </si>
  <si>
    <t>MKT</t>
  </si>
  <si>
    <t>IT</t>
  </si>
  <si>
    <t>OPS</t>
  </si>
  <si>
    <t>RD</t>
  </si>
  <si>
    <t>LEG</t>
  </si>
  <si>
    <t>ADM</t>
  </si>
  <si>
    <t>SAL</t>
  </si>
  <si>
    <t>PR</t>
  </si>
  <si>
    <t>QA</t>
  </si>
  <si>
    <t>FAC</t>
  </si>
  <si>
    <t>.xlsx</t>
  </si>
  <si>
    <t xml:space="preserve">New Benefits Report </t>
  </si>
  <si>
    <t>Name</t>
  </si>
  <si>
    <t>Email addresses</t>
  </si>
  <si>
    <t>Employees with #DEPT# needing to choose a new benefits plan as of #TODAY#</t>
  </si>
  <si>
    <t>Benefits Ambassador,
Attached is the list of employees of the department that you support who have not selected a new benefits plan as of, #TODAY#. Please use this however you need as you work with managers and employees to promote everyone selecting a new benefits plan by the end of the open enrollment period.
If you have any questions about the report, please contact your benefits subject matter expert (SME).
Thank you.</t>
  </si>
  <si>
    <t>*Using the Get Data function of Excel the report is populated in a new sheet. That new sheet is the one referenced in Macros 1 and 2 to sort the report and create separate workbooks for each one. Macro 3 loops through distribution list, replaces variables in email subject and body, and emails the reports to the recipients.</t>
  </si>
  <si>
    <t>(Because GitHub doesn't save the Macros in the spreadsheet, I'm posting the Macro VBA code here)</t>
  </si>
  <si>
    <t>Sub DeptReport1()</t>
  </si>
  <si>
    <t xml:space="preserve">    Dim ws As Worksheet</t>
  </si>
  <si>
    <t xml:space="preserve">    Dim masterWs As Worksheet</t>
  </si>
  <si>
    <t xml:space="preserve">    Dim tbl As ListObject</t>
  </si>
  <si>
    <t xml:space="preserve">    Dim dept As Collection</t>
  </si>
  <si>
    <t xml:space="preserve">    Dim cell As Range</t>
  </si>
  <si>
    <t xml:space="preserve">    Dim deptname As Variant</t>
  </si>
  <si>
    <t xml:space="preserve">    Dim newWs As Worksheet</t>
  </si>
  <si>
    <t xml:space="preserve">    Dim copyRange As Range</t>
  </si>
  <si>
    <t xml:space="preserve">    </t>
  </si>
  <si>
    <t xml:space="preserve">    'Create a collection to hold unique values. The variable is named dept since each unique value should be a dept name</t>
  </si>
  <si>
    <t xml:space="preserve">        If cell.Value &lt;&gt; "" Then</t>
  </si>
  <si>
    <t xml:space="preserve">        End If</t>
  </si>
  <si>
    <t xml:space="preserve">    Next cell</t>
  </si>
  <si>
    <t xml:space="preserve">    'This next part starts the Loop through each unique value to filter for each one at a time.</t>
  </si>
  <si>
    <t xml:space="preserve">    For Each deptname In dept</t>
  </si>
  <si>
    <t xml:space="preserve">        If ws.AutoFilterMode Then</t>
  </si>
  <si>
    <t xml:space="preserve">            tbl.AutoFilter.ShowAllData</t>
  </si>
  <si>
    <t xml:space="preserve">        </t>
  </si>
  <si>
    <t xml:space="preserve">            </t>
  </si>
  <si>
    <t xml:space="preserve">                </t>
  </si>
  <si>
    <t xml:space="preserve">            End If</t>
  </si>
  <si>
    <t xml:space="preserve">    Next deptname</t>
  </si>
  <si>
    <t xml:space="preserve">    'this will format each sheet to look nicer for the recipients when they receive it.</t>
  </si>
  <si>
    <t xml:space="preserve">    For Each ws In ThisWorkbook.Worksheets</t>
  </si>
  <si>
    <t xml:space="preserve">        ws.UsedRange.Columns.AutoFit</t>
  </si>
  <si>
    <t xml:space="preserve">    Next ws</t>
  </si>
  <si>
    <t>End Sub</t>
  </si>
  <si>
    <t xml:space="preserve">    Set ws = ActiveSheet </t>
  </si>
  <si>
    <t>'Set the active sheet</t>
  </si>
  <si>
    <t xml:space="preserve">    Set masterWs = ws </t>
  </si>
  <si>
    <t>'store reference to the original worksheet</t>
  </si>
  <si>
    <t xml:space="preserve">    Set tbl = ws.ListObjects(1) </t>
  </si>
  <si>
    <t>'set the table as a reference</t>
  </si>
  <si>
    <t xml:space="preserve">    Set dept = New Collection </t>
  </si>
  <si>
    <t xml:space="preserve">    On Error Resume Next </t>
  </si>
  <si>
    <t>'Ignore errors for duplicates</t>
  </si>
  <si>
    <t>'Create the collection</t>
  </si>
  <si>
    <t xml:space="preserve">    For Each cell In tbl.ListColumns(7).DataBodyRange </t>
  </si>
  <si>
    <t>'Column G is the 7th column, and it has the department name so we are selecting that</t>
  </si>
  <si>
    <t xml:space="preserve">            dept.Add cell.Value, CStr(cell.Value) </t>
  </si>
  <si>
    <t xml:space="preserve"> 'makes it use cell value as the collection entry</t>
  </si>
  <si>
    <t xml:space="preserve">    On Error GoTo 0 </t>
  </si>
  <si>
    <t>'Turn error handling back on</t>
  </si>
  <si>
    <t xml:space="preserve">        End If </t>
  </si>
  <si>
    <t>'This if statement ensures that at the start of each loop the table is showing all data</t>
  </si>
  <si>
    <t xml:space="preserve">            tbl.Range.AutoFilter Field:=7, Criteria1:=deptname </t>
  </si>
  <si>
    <t>'apply the filter to the current deptname</t>
  </si>
  <si>
    <t xml:space="preserve">            If Application.WorksheetFunction.Subtotal(103, tbl.ListColumns(7).DataBodyRange) &gt; 1 Then </t>
  </si>
  <si>
    <t>'count visible rows (excluding header)</t>
  </si>
  <si>
    <t xml:space="preserve">                Set newWs = ThisWorkbook.Worksheets.Add(After:=ws) </t>
  </si>
  <si>
    <t>'Add a new worksheet for the dept.</t>
  </si>
  <si>
    <t xml:space="preserve">                newWs.Name = deptname </t>
  </si>
  <si>
    <t>'name the new worksheet as the deptname.</t>
  </si>
  <si>
    <t xml:space="preserve">                masterWs.Activate </t>
  </si>
  <si>
    <t>'changes active sheet back to master sheet</t>
  </si>
  <si>
    <t xml:space="preserve">                Set copyRange = tbl.Range.SpecialCells(xlCellTypeVisible) </t>
  </si>
  <si>
    <t>'copies only visible rows</t>
  </si>
  <si>
    <t xml:space="preserve">                copyRange.Copy Destination:=newWs.Range("A1") </t>
  </si>
  <si>
    <t>'pastes visible rows to new sheet</t>
  </si>
  <si>
    <t xml:space="preserve">    tbl.AutoFilter.ShowAllData </t>
  </si>
  <si>
    <t>'Clear the Filter</t>
  </si>
  <si>
    <t>Sub DeptReport2()</t>
  </si>
  <si>
    <t>Dim FPath As String</t>
  </si>
  <si>
    <t>Dim wbName As String</t>
  </si>
  <si>
    <t>Dim ws As Worksheet</t>
  </si>
  <si>
    <t xml:space="preserve">    ws.Copy</t>
  </si>
  <si>
    <t xml:space="preserve">    Application.ActiveWorkbook.SaveAs FileName:=FPath &amp; "\" &amp; wbName &amp; " " &amp; ws.Name &amp; ".xlsx"</t>
  </si>
  <si>
    <t>Next</t>
  </si>
  <si>
    <t xml:space="preserve">FPath = Application.ActiveWorkbook.Path </t>
  </si>
  <si>
    <t>'Sets the file path to match the file path of this workbook</t>
  </si>
  <si>
    <t xml:space="preserve">wbName = Application.ActiveWorkbook.Name </t>
  </si>
  <si>
    <t>'Sets the workbook name as the exact name of this workbook</t>
  </si>
  <si>
    <t>wbName = Left(wbName, InStrRev(wbName, ".") - 1)</t>
  </si>
  <si>
    <t xml:space="preserve"> 'Sets the workbook name as the name of this workbook without the file extension</t>
  </si>
  <si>
    <t xml:space="preserve">Application.ScreenUpdating = False </t>
  </si>
  <si>
    <t>'Turns off screen updates while creating each new file</t>
  </si>
  <si>
    <t>Application.DisplayAlerts = False</t>
  </si>
  <si>
    <t xml:space="preserve"> 'Turns off display alets while creating each new file</t>
  </si>
  <si>
    <t xml:space="preserve">For Each ws In ThisWorkbook.Sheets </t>
  </si>
  <si>
    <t>'starts the loop to identify each worksheet, then save it as a separate excel file</t>
  </si>
  <si>
    <t xml:space="preserve">    Application.ActiveWorkbook.Close False </t>
  </si>
  <si>
    <t>'Makes sure not to close the active workbook when it's done saving each worksheet</t>
  </si>
  <si>
    <t xml:space="preserve">Application.DisplayAlerts = True </t>
  </si>
  <si>
    <t>'Turns display alerts back on</t>
  </si>
  <si>
    <t xml:space="preserve">Application.ScreenUpdating = True </t>
  </si>
  <si>
    <t>'Turns screen updating back on</t>
  </si>
  <si>
    <t>Option Explicit</t>
  </si>
  <si>
    <t>Sub BenReport3()</t>
  </si>
  <si>
    <t>Dim OutApp As Object, OutMail As Object</t>
  </si>
  <si>
    <t>Dim LastRow As Integer, TblRow As Integer, VarRow As Integer</t>
  </si>
  <si>
    <t>Dim Email As String, Subj As String, Mesg As String, FileName As String</t>
  </si>
  <si>
    <t xml:space="preserve">            'Now we will use a replace command to insert the variables into the subject line and email body</t>
  </si>
  <si>
    <t xml:space="preserve">            For VarRow = 2 To 3</t>
  </si>
  <si>
    <t xml:space="preserve">            Subj = Replace(Subj, .Range("K" &amp; VarRow).Value, .Range("J" &amp; VarRow).Value)</t>
  </si>
  <si>
    <t xml:space="preserve">            Mesg = Replace(Mesg, .Range("K" &amp; VarRow).Value, .Range("J" &amp; VarRow).Value)</t>
  </si>
  <si>
    <t xml:space="preserve">            Next VarRow</t>
  </si>
  <si>
    <t xml:space="preserve">            'Next we'll create and send the email</t>
  </si>
  <si>
    <t xml:space="preserve">            'The next several lines create the email, specify which email address, attaches the file inserts the subject and body, and sends it.</t>
  </si>
  <si>
    <t xml:space="preserve">            .To = Email</t>
  </si>
  <si>
    <t xml:space="preserve">            .Subject = Subj</t>
  </si>
  <si>
    <t xml:space="preserve">            .Body = Mesg</t>
  </si>
  <si>
    <t xml:space="preserve">            .Send</t>
  </si>
  <si>
    <t xml:space="preserve">    Next TblRow</t>
  </si>
  <si>
    <t xml:space="preserve">    End With</t>
  </si>
  <si>
    <t xml:space="preserve">           </t>
  </si>
  <si>
    <t xml:space="preserve">    Set ws = ThisWorkbook.Worksheets("Email") </t>
  </si>
  <si>
    <t>'Sets the worksheet to the "email" worksheet</t>
  </si>
  <si>
    <t xml:space="preserve">    With ws</t>
  </si>
  <si>
    <t xml:space="preserve">        LastRow = .Range("A9999").End(xlUp).Row </t>
  </si>
  <si>
    <t>'this sets the last row regardless of how big the table actually is. xlUp simulates Ctrl + up arrow</t>
  </si>
  <si>
    <t xml:space="preserve">        For TblRow = 2 To LastRow </t>
  </si>
  <si>
    <t>'This starts the loop through the table</t>
  </si>
  <si>
    <t xml:space="preserve">        .Range("J1").Value = TblRow </t>
  </si>
  <si>
    <t>'Sets the table row to create each variable</t>
  </si>
  <si>
    <t xml:space="preserve">        .Calculate </t>
  </si>
  <si>
    <t xml:space="preserve">'This is just a coding safety measure to ensure that all formulas are forced to calculate. </t>
  </si>
  <si>
    <t xml:space="preserve">        If InStr(.Range("F" &amp; TblRow).Value, "Email") &gt; 0 Then</t>
  </si>
  <si>
    <t xml:space="preserve"> 'checks to see if Send column is greater than 0, the user will remove "Email" from column F if there isn't a report for that dept.</t>
  </si>
  <si>
    <t xml:space="preserve">            Email = .Range("E" &amp; TblRow).Value </t>
  </si>
  <si>
    <t>'Sets the email address</t>
  </si>
  <si>
    <t xml:space="preserve">            Subj = .Range("N2").Value </t>
  </si>
  <si>
    <t>'Sets the subject line</t>
  </si>
  <si>
    <t xml:space="preserve">            Mesg = .Range("N3").Value </t>
  </si>
  <si>
    <t>'Sets the email body</t>
  </si>
  <si>
    <t xml:space="preserve">            FileName = ThisWorkbook.Path &amp; "\" &amp; .Range("B" &amp; TblRow).Value</t>
  </si>
  <si>
    <t xml:space="preserve"> 'Sets the file attachment name. Side note, name needs to include file extension</t>
  </si>
  <si>
    <t xml:space="preserve">            Set OutApp = CreateObject("Outlook.Application") </t>
  </si>
  <si>
    <t>'Set the Outlook Application</t>
  </si>
  <si>
    <t xml:space="preserve">            Set OutMail = OutApp.CreateItem(0) </t>
  </si>
  <si>
    <t>'Creates the email</t>
  </si>
  <si>
    <t xml:space="preserve">        With OutMail</t>
  </si>
  <si>
    <t xml:space="preserve">            .attachments.Add FileName </t>
  </si>
  <si>
    <t>'If the file doesn't exist, then it will cause an error and stop the code.</t>
  </si>
  <si>
    <t xml:space="preserve">            ws.Range("G" &amp; TblRow).Value = Now </t>
  </si>
  <si>
    <t>'Set the Sent On column to show the exact day and time that it was emailed out.</t>
  </si>
  <si>
    <t xml:space="preserve">        End With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</si>
</sst>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theme="7"/>
      </patternFill>
    </fill>
  </fills>
  <borders count="4">
    <border>
      <left/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49" fontId="0" fillId="0" borderId="0" xfId="0" applyNumberFormat="1"/>
    <xf numFmtId="2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FA60B-64F0-45C6-A89F-3C5857A0E174}">
  <sheetPr codeName="Sheet72"/>
  <dimension ref="A1:T20"/>
  <sheetViews>
    <sheetView workbookViewId="0">
      <selection activeCell="J17" sqref="J17"/>
    </sheetView>
  </sheetViews>
  <sheetFormatPr defaultRowHeight="14.4" x14ac:dyDescent="0.3"/>
  <cols>
    <col min="1" max="1" width="7.44140625" customWidth="1"/>
    <col min="2" max="2" width="28.88671875" bestFit="1" customWidth="1"/>
    <col min="3" max="3" width="14.88671875" bestFit="1" customWidth="1"/>
    <col min="4" max="4" width="25.6640625" bestFit="1" customWidth="1"/>
    <col min="5" max="5" width="35.44140625" bestFit="1" customWidth="1"/>
    <col min="6" max="6" width="5.44140625" bestFit="1" customWidth="1"/>
    <col min="7" max="7" width="7.44140625" bestFit="1" customWidth="1"/>
    <col min="9" max="9" width="9.109375" bestFit="1" customWidth="1"/>
    <col min="10" max="10" width="18.109375" customWidth="1"/>
    <col min="11" max="11" width="8.5546875" bestFit="1" customWidth="1"/>
    <col min="13" max="13" width="13.33203125" bestFit="1" customWidth="1"/>
  </cols>
  <sheetData>
    <row r="1" spans="1:20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I1" t="s">
        <v>7</v>
      </c>
      <c r="J1">
        <v>2</v>
      </c>
      <c r="K1" t="s">
        <v>8</v>
      </c>
      <c r="M1" t="s">
        <v>9</v>
      </c>
    </row>
    <row r="2" spans="1:20" x14ac:dyDescent="0.3">
      <c r="A2" t="s">
        <v>18</v>
      </c>
      <c r="B2" t="str">
        <f>_xlfn.CONCAT($J$6,A2,$J$7)</f>
        <v>New Benefits Report HR.xlsx</v>
      </c>
      <c r="C2" t="s">
        <v>32</v>
      </c>
      <c r="D2" t="s">
        <v>32</v>
      </c>
      <c r="E2" t="s">
        <v>33</v>
      </c>
      <c r="F2" t="s">
        <v>10</v>
      </c>
      <c r="G2" s="5"/>
      <c r="I2" t="s">
        <v>0</v>
      </c>
      <c r="J2" t="str" cm="1">
        <f t="array" aca="1" ref="J2" ca="1">INDEX(BenefitsAmbassadorsTable,$J$1-1,1)</f>
        <v>HR</v>
      </c>
      <c r="K2" t="s">
        <v>11</v>
      </c>
      <c r="M2" t="s">
        <v>12</v>
      </c>
      <c r="N2" s="6" t="s">
        <v>34</v>
      </c>
      <c r="O2" s="6"/>
      <c r="P2" s="6"/>
      <c r="Q2" s="6"/>
      <c r="R2" s="6"/>
      <c r="S2" s="6"/>
      <c r="T2" s="6"/>
    </row>
    <row r="3" spans="1:20" x14ac:dyDescent="0.3">
      <c r="A3" t="s">
        <v>19</v>
      </c>
      <c r="B3" t="str">
        <f t="shared" ref="B3:B14" si="0">_xlfn.CONCAT($J$6,A3,$J$7)</f>
        <v>New Benefits Report FIN.xlsx</v>
      </c>
      <c r="C3" t="s">
        <v>32</v>
      </c>
      <c r="D3" t="s">
        <v>32</v>
      </c>
      <c r="E3" t="s">
        <v>33</v>
      </c>
      <c r="F3" t="s">
        <v>10</v>
      </c>
      <c r="G3" s="5"/>
      <c r="I3" t="s">
        <v>13</v>
      </c>
      <c r="J3" s="4"/>
      <c r="K3" t="s">
        <v>14</v>
      </c>
      <c r="M3" t="s">
        <v>15</v>
      </c>
      <c r="N3" s="7" t="s">
        <v>35</v>
      </c>
      <c r="O3" s="8"/>
      <c r="P3" s="8"/>
      <c r="Q3" s="8"/>
      <c r="R3" s="8"/>
      <c r="S3" s="8"/>
      <c r="T3" s="8"/>
    </row>
    <row r="4" spans="1:20" x14ac:dyDescent="0.3">
      <c r="A4" t="s">
        <v>20</v>
      </c>
      <c r="B4" t="str">
        <f t="shared" si="0"/>
        <v>New Benefits Report MKT.xlsx</v>
      </c>
      <c r="C4" t="s">
        <v>32</v>
      </c>
      <c r="D4" t="s">
        <v>32</v>
      </c>
      <c r="E4" t="s">
        <v>33</v>
      </c>
      <c r="F4" t="s">
        <v>10</v>
      </c>
      <c r="G4" s="5"/>
      <c r="H4" s="5"/>
      <c r="N4" s="8"/>
      <c r="O4" s="8"/>
      <c r="P4" s="8"/>
      <c r="Q4" s="8"/>
      <c r="R4" s="8"/>
      <c r="S4" s="8"/>
      <c r="T4" s="8"/>
    </row>
    <row r="5" spans="1:20" x14ac:dyDescent="0.3">
      <c r="A5" t="s">
        <v>21</v>
      </c>
      <c r="B5" t="str">
        <f t="shared" si="0"/>
        <v>New Benefits Report IT.xlsx</v>
      </c>
      <c r="C5" t="s">
        <v>32</v>
      </c>
      <c r="D5" t="s">
        <v>32</v>
      </c>
      <c r="E5" t="s">
        <v>33</v>
      </c>
      <c r="F5" t="s">
        <v>10</v>
      </c>
      <c r="H5" s="5"/>
      <c r="N5" s="8"/>
      <c r="O5" s="8"/>
      <c r="P5" s="8"/>
      <c r="Q5" s="8"/>
      <c r="R5" s="8"/>
      <c r="S5" s="8"/>
      <c r="T5" s="8"/>
    </row>
    <row r="6" spans="1:20" x14ac:dyDescent="0.3">
      <c r="A6" t="s">
        <v>26</v>
      </c>
      <c r="B6" t="str">
        <f t="shared" si="0"/>
        <v>New Benefits Report SAL.xlsx</v>
      </c>
      <c r="C6" t="s">
        <v>32</v>
      </c>
      <c r="D6" t="s">
        <v>32</v>
      </c>
      <c r="E6" t="s">
        <v>33</v>
      </c>
      <c r="F6" t="s">
        <v>10</v>
      </c>
      <c r="J6" t="s">
        <v>31</v>
      </c>
      <c r="K6" t="s">
        <v>1</v>
      </c>
      <c r="N6" s="8"/>
      <c r="O6" s="8"/>
      <c r="P6" s="8"/>
      <c r="Q6" s="8"/>
      <c r="R6" s="8"/>
      <c r="S6" s="8"/>
      <c r="T6" s="8"/>
    </row>
    <row r="7" spans="1:20" x14ac:dyDescent="0.3">
      <c r="A7" t="s">
        <v>16</v>
      </c>
      <c r="B7" t="str">
        <f t="shared" si="0"/>
        <v>New Benefits Report CSD.xlsx</v>
      </c>
      <c r="C7" t="s">
        <v>32</v>
      </c>
      <c r="D7" t="s">
        <v>32</v>
      </c>
      <c r="E7" t="s">
        <v>33</v>
      </c>
      <c r="F7" t="s">
        <v>10</v>
      </c>
      <c r="J7" t="s">
        <v>30</v>
      </c>
      <c r="K7" t="s">
        <v>17</v>
      </c>
      <c r="N7" s="8"/>
      <c r="O7" s="8"/>
      <c r="P7" s="8"/>
      <c r="Q7" s="8"/>
      <c r="R7" s="8"/>
      <c r="S7" s="8"/>
      <c r="T7" s="8"/>
    </row>
    <row r="8" spans="1:20" x14ac:dyDescent="0.3">
      <c r="A8" t="s">
        <v>22</v>
      </c>
      <c r="B8" t="str">
        <f t="shared" si="0"/>
        <v>New Benefits Report OPS.xlsx</v>
      </c>
      <c r="C8" t="s">
        <v>32</v>
      </c>
      <c r="D8" t="s">
        <v>32</v>
      </c>
      <c r="E8" t="s">
        <v>33</v>
      </c>
      <c r="F8" t="s">
        <v>10</v>
      </c>
      <c r="N8" s="8"/>
      <c r="O8" s="8"/>
      <c r="P8" s="8"/>
      <c r="Q8" s="8"/>
      <c r="R8" s="8"/>
      <c r="S8" s="8"/>
      <c r="T8" s="8"/>
    </row>
    <row r="9" spans="1:20" ht="14.4" customHeight="1" x14ac:dyDescent="0.3">
      <c r="A9" t="s">
        <v>23</v>
      </c>
      <c r="B9" t="str">
        <f t="shared" si="0"/>
        <v>New Benefits Report RD.xlsx</v>
      </c>
      <c r="C9" t="s">
        <v>32</v>
      </c>
      <c r="D9" t="s">
        <v>32</v>
      </c>
      <c r="E9" t="s">
        <v>33</v>
      </c>
      <c r="F9" t="s">
        <v>10</v>
      </c>
      <c r="J9" s="7" t="s">
        <v>36</v>
      </c>
      <c r="K9" s="7"/>
      <c r="L9" s="7"/>
      <c r="N9" s="8"/>
      <c r="O9" s="8"/>
      <c r="P9" s="8"/>
      <c r="Q9" s="8"/>
      <c r="R9" s="8"/>
      <c r="S9" s="8"/>
      <c r="T9" s="8"/>
    </row>
    <row r="10" spans="1:20" x14ac:dyDescent="0.3">
      <c r="A10" t="s">
        <v>24</v>
      </c>
      <c r="B10" t="str">
        <f t="shared" si="0"/>
        <v>New Benefits Report LEG.xlsx</v>
      </c>
      <c r="C10" t="s">
        <v>32</v>
      </c>
      <c r="D10" t="s">
        <v>32</v>
      </c>
      <c r="E10" t="s">
        <v>33</v>
      </c>
      <c r="F10" t="s">
        <v>10</v>
      </c>
      <c r="J10" s="7"/>
      <c r="K10" s="7"/>
      <c r="L10" s="7"/>
      <c r="N10" s="8"/>
      <c r="O10" s="8"/>
      <c r="P10" s="8"/>
      <c r="Q10" s="8"/>
      <c r="R10" s="8"/>
      <c r="S10" s="8"/>
      <c r="T10" s="8"/>
    </row>
    <row r="11" spans="1:20" x14ac:dyDescent="0.3">
      <c r="A11" t="s">
        <v>25</v>
      </c>
      <c r="B11" t="str">
        <f t="shared" si="0"/>
        <v>New Benefits Report ADM.xlsx</v>
      </c>
      <c r="C11" t="s">
        <v>32</v>
      </c>
      <c r="D11" t="s">
        <v>32</v>
      </c>
      <c r="E11" t="s">
        <v>33</v>
      </c>
      <c r="F11" t="s">
        <v>10</v>
      </c>
      <c r="J11" s="7"/>
      <c r="K11" s="7"/>
      <c r="L11" s="7"/>
      <c r="N11" s="8"/>
      <c r="O11" s="8"/>
      <c r="P11" s="8"/>
      <c r="Q11" s="8"/>
      <c r="R11" s="8"/>
      <c r="S11" s="8"/>
      <c r="T11" s="8"/>
    </row>
    <row r="12" spans="1:20" x14ac:dyDescent="0.3">
      <c r="A12" t="s">
        <v>27</v>
      </c>
      <c r="B12" t="str">
        <f t="shared" si="0"/>
        <v>New Benefits Report PR.xlsx</v>
      </c>
      <c r="C12" t="s">
        <v>32</v>
      </c>
      <c r="D12" t="s">
        <v>32</v>
      </c>
      <c r="E12" t="s">
        <v>33</v>
      </c>
      <c r="F12" t="s">
        <v>10</v>
      </c>
      <c r="J12" s="7"/>
      <c r="K12" s="7"/>
      <c r="L12" s="7"/>
      <c r="N12" s="8"/>
      <c r="O12" s="8"/>
      <c r="P12" s="8"/>
      <c r="Q12" s="8"/>
      <c r="R12" s="8"/>
      <c r="S12" s="8"/>
      <c r="T12" s="8"/>
    </row>
    <row r="13" spans="1:20" x14ac:dyDescent="0.3">
      <c r="A13" t="s">
        <v>28</v>
      </c>
      <c r="B13" t="str">
        <f t="shared" si="0"/>
        <v>New Benefits Report QA.xlsx</v>
      </c>
      <c r="C13" t="s">
        <v>32</v>
      </c>
      <c r="D13" t="s">
        <v>32</v>
      </c>
      <c r="E13" t="s">
        <v>33</v>
      </c>
      <c r="F13" t="s">
        <v>10</v>
      </c>
      <c r="J13" s="7"/>
      <c r="K13" s="7"/>
      <c r="L13" s="7"/>
      <c r="N13" s="8"/>
      <c r="O13" s="8"/>
      <c r="P13" s="8"/>
      <c r="Q13" s="8"/>
      <c r="R13" s="8"/>
      <c r="S13" s="8"/>
      <c r="T13" s="8"/>
    </row>
    <row r="14" spans="1:20" x14ac:dyDescent="0.3">
      <c r="A14" t="s">
        <v>29</v>
      </c>
      <c r="B14" t="str">
        <f t="shared" si="0"/>
        <v>New Benefits Report FAC.xlsx</v>
      </c>
      <c r="C14" t="s">
        <v>32</v>
      </c>
      <c r="D14" t="s">
        <v>32</v>
      </c>
      <c r="E14" t="s">
        <v>33</v>
      </c>
      <c r="F14" t="s">
        <v>10</v>
      </c>
      <c r="J14" s="7"/>
      <c r="K14" s="7"/>
      <c r="L14" s="7"/>
      <c r="N14" s="8"/>
      <c r="O14" s="8"/>
      <c r="P14" s="8"/>
      <c r="Q14" s="8"/>
      <c r="R14" s="8"/>
      <c r="S14" s="8"/>
      <c r="T14" s="8"/>
    </row>
    <row r="15" spans="1:20" x14ac:dyDescent="0.3">
      <c r="J15" s="7"/>
      <c r="K15" s="7"/>
      <c r="L15" s="7"/>
      <c r="N15" s="8"/>
      <c r="O15" s="8"/>
      <c r="P15" s="8"/>
      <c r="Q15" s="8"/>
      <c r="R15" s="8"/>
      <c r="S15" s="8"/>
      <c r="T15" s="8"/>
    </row>
    <row r="16" spans="1:20" x14ac:dyDescent="0.3">
      <c r="J16" s="7"/>
      <c r="K16" s="7"/>
      <c r="L16" s="7"/>
      <c r="N16" s="8"/>
      <c r="O16" s="8"/>
      <c r="P16" s="8"/>
      <c r="Q16" s="8"/>
      <c r="R16" s="8"/>
      <c r="S16" s="8"/>
      <c r="T16" s="8"/>
    </row>
    <row r="17" spans="14:20" x14ac:dyDescent="0.3">
      <c r="N17" s="8"/>
      <c r="O17" s="8"/>
      <c r="P17" s="8"/>
      <c r="Q17" s="8"/>
      <c r="R17" s="8"/>
      <c r="S17" s="8"/>
      <c r="T17" s="8"/>
    </row>
    <row r="18" spans="14:20" x14ac:dyDescent="0.3">
      <c r="N18" s="8"/>
      <c r="O18" s="8"/>
      <c r="P18" s="8"/>
      <c r="Q18" s="8"/>
      <c r="R18" s="8"/>
      <c r="S18" s="8"/>
      <c r="T18" s="8"/>
    </row>
    <row r="19" spans="14:20" x14ac:dyDescent="0.3">
      <c r="N19" s="8"/>
      <c r="O19" s="8"/>
      <c r="P19" s="8"/>
      <c r="Q19" s="8"/>
      <c r="R19" s="8"/>
      <c r="S19" s="8"/>
      <c r="T19" s="8"/>
    </row>
    <row r="20" spans="14:20" x14ac:dyDescent="0.3">
      <c r="N20" s="8"/>
      <c r="O20" s="8"/>
      <c r="P20" s="8"/>
      <c r="Q20" s="8"/>
      <c r="R20" s="8"/>
      <c r="S20" s="8"/>
      <c r="T20" s="8"/>
    </row>
  </sheetData>
  <mergeCells count="3">
    <mergeCell ref="N2:T2"/>
    <mergeCell ref="N3:T20"/>
    <mergeCell ref="J9:L1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46E9-B2B7-4710-A869-F13A6D524A3A}">
  <sheetPr codeName="Sheet1"/>
  <dimension ref="A1:I56"/>
  <sheetViews>
    <sheetView workbookViewId="0">
      <selection sqref="A1:I1"/>
    </sheetView>
  </sheetViews>
  <sheetFormatPr defaultRowHeight="14.4" x14ac:dyDescent="0.3"/>
  <cols>
    <col min="1" max="1" width="52.33203125" customWidth="1"/>
  </cols>
  <sheetData>
    <row r="1" spans="1:9" x14ac:dyDescent="0.3">
      <c r="A1" s="9" t="s">
        <v>37</v>
      </c>
      <c r="B1" s="9"/>
      <c r="C1" s="9"/>
      <c r="D1" s="9"/>
      <c r="E1" s="9"/>
      <c r="F1" s="9"/>
      <c r="G1" s="9"/>
      <c r="H1" s="9"/>
      <c r="I1" s="9"/>
    </row>
    <row r="2" spans="1:9" x14ac:dyDescent="0.3">
      <c r="A2" t="s">
        <v>38</v>
      </c>
    </row>
    <row r="3" spans="1:9" x14ac:dyDescent="0.3">
      <c r="A3" t="s">
        <v>39</v>
      </c>
    </row>
    <row r="4" spans="1:9" x14ac:dyDescent="0.3">
      <c r="A4" t="s">
        <v>40</v>
      </c>
    </row>
    <row r="5" spans="1:9" x14ac:dyDescent="0.3">
      <c r="A5" t="s">
        <v>41</v>
      </c>
    </row>
    <row r="6" spans="1:9" x14ac:dyDescent="0.3">
      <c r="A6" t="s">
        <v>42</v>
      </c>
    </row>
    <row r="7" spans="1:9" x14ac:dyDescent="0.3">
      <c r="A7" t="s">
        <v>43</v>
      </c>
    </row>
    <row r="8" spans="1:9" x14ac:dyDescent="0.3">
      <c r="A8" t="s">
        <v>44</v>
      </c>
    </row>
    <row r="9" spans="1:9" x14ac:dyDescent="0.3">
      <c r="A9" t="s">
        <v>45</v>
      </c>
    </row>
    <row r="10" spans="1:9" x14ac:dyDescent="0.3">
      <c r="A10" t="s">
        <v>46</v>
      </c>
    </row>
    <row r="11" spans="1:9" x14ac:dyDescent="0.3">
      <c r="A11" t="s">
        <v>47</v>
      </c>
    </row>
    <row r="12" spans="1:9" x14ac:dyDescent="0.3">
      <c r="A12" t="s">
        <v>66</v>
      </c>
      <c r="B12" s="10" t="s">
        <v>67</v>
      </c>
    </row>
    <row r="13" spans="1:9" x14ac:dyDescent="0.3">
      <c r="A13" t="s">
        <v>68</v>
      </c>
      <c r="B13" s="10" t="s">
        <v>69</v>
      </c>
    </row>
    <row r="14" spans="1:9" x14ac:dyDescent="0.3">
      <c r="A14" t="s">
        <v>70</v>
      </c>
      <c r="B14" s="10" t="s">
        <v>71</v>
      </c>
    </row>
    <row r="15" spans="1:9" x14ac:dyDescent="0.3">
      <c r="A15" t="s">
        <v>47</v>
      </c>
    </row>
    <row r="16" spans="1:9" x14ac:dyDescent="0.3">
      <c r="A16" s="11" t="s">
        <v>48</v>
      </c>
      <c r="B16" s="11"/>
      <c r="C16" s="11"/>
      <c r="D16" s="11"/>
      <c r="E16" s="11"/>
      <c r="F16" s="11"/>
      <c r="G16" s="11"/>
    </row>
    <row r="17" spans="1:5" x14ac:dyDescent="0.3">
      <c r="A17" t="s">
        <v>72</v>
      </c>
      <c r="B17" s="10" t="s">
        <v>75</v>
      </c>
    </row>
    <row r="18" spans="1:5" x14ac:dyDescent="0.3">
      <c r="A18" t="s">
        <v>73</v>
      </c>
      <c r="B18" s="10" t="s">
        <v>74</v>
      </c>
    </row>
    <row r="19" spans="1:5" x14ac:dyDescent="0.3">
      <c r="A19" t="s">
        <v>47</v>
      </c>
    </row>
    <row r="20" spans="1:5" x14ac:dyDescent="0.3">
      <c r="A20" t="s">
        <v>76</v>
      </c>
      <c r="B20" s="10" t="s">
        <v>77</v>
      </c>
    </row>
    <row r="21" spans="1:5" x14ac:dyDescent="0.3">
      <c r="A21" t="s">
        <v>49</v>
      </c>
    </row>
    <row r="22" spans="1:5" x14ac:dyDescent="0.3">
      <c r="A22" t="s">
        <v>78</v>
      </c>
      <c r="B22" s="10" t="s">
        <v>79</v>
      </c>
    </row>
    <row r="23" spans="1:5" x14ac:dyDescent="0.3">
      <c r="A23" t="s">
        <v>50</v>
      </c>
    </row>
    <row r="24" spans="1:5" x14ac:dyDescent="0.3">
      <c r="A24" t="s">
        <v>51</v>
      </c>
    </row>
    <row r="25" spans="1:5" x14ac:dyDescent="0.3">
      <c r="A25" t="s">
        <v>80</v>
      </c>
      <c r="B25" s="10" t="s">
        <v>81</v>
      </c>
    </row>
    <row r="26" spans="1:5" x14ac:dyDescent="0.3">
      <c r="A26" t="s">
        <v>47</v>
      </c>
    </row>
    <row r="27" spans="1:5" x14ac:dyDescent="0.3">
      <c r="A27" s="11" t="s">
        <v>52</v>
      </c>
      <c r="B27" s="11"/>
      <c r="C27" s="11"/>
      <c r="D27" s="11"/>
      <c r="E27" s="11"/>
    </row>
    <row r="28" spans="1:5" x14ac:dyDescent="0.3">
      <c r="A28" t="s">
        <v>53</v>
      </c>
    </row>
    <row r="29" spans="1:5" x14ac:dyDescent="0.3">
      <c r="A29" t="s">
        <v>54</v>
      </c>
    </row>
    <row r="30" spans="1:5" x14ac:dyDescent="0.3">
      <c r="A30" t="s">
        <v>55</v>
      </c>
    </row>
    <row r="31" spans="1:5" x14ac:dyDescent="0.3">
      <c r="A31" t="s">
        <v>82</v>
      </c>
      <c r="B31" s="10" t="s">
        <v>83</v>
      </c>
    </row>
    <row r="32" spans="1:5" x14ac:dyDescent="0.3">
      <c r="A32" t="s">
        <v>56</v>
      </c>
    </row>
    <row r="33" spans="1:6" x14ac:dyDescent="0.3">
      <c r="A33" t="s">
        <v>84</v>
      </c>
      <c r="B33" s="10" t="s">
        <v>85</v>
      </c>
    </row>
    <row r="34" spans="1:6" x14ac:dyDescent="0.3">
      <c r="A34" t="s">
        <v>57</v>
      </c>
    </row>
    <row r="35" spans="1:6" x14ac:dyDescent="0.3">
      <c r="A35" t="s">
        <v>47</v>
      </c>
    </row>
    <row r="36" spans="1:6" x14ac:dyDescent="0.3">
      <c r="A36" s="6" t="s">
        <v>86</v>
      </c>
      <c r="B36" s="6"/>
      <c r="C36" s="6"/>
      <c r="D36" s="6"/>
      <c r="E36" s="6"/>
      <c r="F36" s="10" t="s">
        <v>87</v>
      </c>
    </row>
    <row r="37" spans="1:6" x14ac:dyDescent="0.3">
      <c r="A37" t="s">
        <v>58</v>
      </c>
    </row>
    <row r="38" spans="1:6" x14ac:dyDescent="0.3">
      <c r="A38" t="s">
        <v>88</v>
      </c>
      <c r="B38" s="10" t="s">
        <v>89</v>
      </c>
    </row>
    <row r="39" spans="1:6" x14ac:dyDescent="0.3">
      <c r="A39" t="s">
        <v>90</v>
      </c>
      <c r="B39" s="10" t="s">
        <v>91</v>
      </c>
    </row>
    <row r="40" spans="1:6" x14ac:dyDescent="0.3">
      <c r="A40" t="s">
        <v>92</v>
      </c>
      <c r="B40" s="10" t="s">
        <v>93</v>
      </c>
    </row>
    <row r="41" spans="1:6" x14ac:dyDescent="0.3">
      <c r="A41" t="s">
        <v>94</v>
      </c>
      <c r="B41" s="10" t="s">
        <v>95</v>
      </c>
    </row>
    <row r="42" spans="1:6" x14ac:dyDescent="0.3">
      <c r="A42" t="s">
        <v>96</v>
      </c>
      <c r="B42" s="10" t="s">
        <v>97</v>
      </c>
    </row>
    <row r="43" spans="1:6" x14ac:dyDescent="0.3">
      <c r="A43" t="s">
        <v>58</v>
      </c>
    </row>
    <row r="44" spans="1:6" x14ac:dyDescent="0.3">
      <c r="A44" t="s">
        <v>59</v>
      </c>
    </row>
    <row r="45" spans="1:6" x14ac:dyDescent="0.3">
      <c r="A45" t="s">
        <v>56</v>
      </c>
    </row>
    <row r="46" spans="1:6" x14ac:dyDescent="0.3">
      <c r="A46" t="s">
        <v>60</v>
      </c>
    </row>
    <row r="47" spans="1:6" x14ac:dyDescent="0.3">
      <c r="A47" t="s">
        <v>47</v>
      </c>
    </row>
    <row r="48" spans="1:6" x14ac:dyDescent="0.3">
      <c r="A48" t="s">
        <v>98</v>
      </c>
      <c r="B48" s="10" t="s">
        <v>99</v>
      </c>
    </row>
    <row r="49" spans="1:3" x14ac:dyDescent="0.3">
      <c r="A49" t="s">
        <v>47</v>
      </c>
    </row>
    <row r="50" spans="1:3" x14ac:dyDescent="0.3">
      <c r="A50" s="11" t="s">
        <v>61</v>
      </c>
      <c r="B50" s="11"/>
      <c r="C50" s="11"/>
    </row>
    <row r="51" spans="1:3" x14ac:dyDescent="0.3">
      <c r="A51" t="s">
        <v>62</v>
      </c>
    </row>
    <row r="52" spans="1:3" x14ac:dyDescent="0.3">
      <c r="A52" t="s">
        <v>63</v>
      </c>
    </row>
    <row r="53" spans="1:3" x14ac:dyDescent="0.3">
      <c r="A53" t="s">
        <v>64</v>
      </c>
    </row>
    <row r="54" spans="1:3" x14ac:dyDescent="0.3">
      <c r="A54" t="s">
        <v>47</v>
      </c>
    </row>
    <row r="56" spans="1:3" x14ac:dyDescent="0.3">
      <c r="A56" t="s">
        <v>65</v>
      </c>
    </row>
  </sheetData>
  <mergeCells count="5">
    <mergeCell ref="A1:I1"/>
    <mergeCell ref="A16:G16"/>
    <mergeCell ref="A27:E27"/>
    <mergeCell ref="A36:E36"/>
    <mergeCell ref="A50:C5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5B7EE-CFF1-4EA9-9657-8FA70B29C5A8}">
  <sheetPr codeName="Sheet2"/>
  <dimension ref="A1:I23"/>
  <sheetViews>
    <sheetView workbookViewId="0">
      <selection sqref="A1:I1"/>
    </sheetView>
  </sheetViews>
  <sheetFormatPr defaultRowHeight="14.4" x14ac:dyDescent="0.3"/>
  <cols>
    <col min="1" max="1" width="43.88671875" customWidth="1"/>
  </cols>
  <sheetData>
    <row r="1" spans="1:9" x14ac:dyDescent="0.3">
      <c r="A1" s="9" t="s">
        <v>37</v>
      </c>
      <c r="B1" s="9"/>
      <c r="C1" s="9"/>
      <c r="D1" s="9"/>
      <c r="E1" s="9"/>
      <c r="F1" s="9"/>
      <c r="G1" s="9"/>
      <c r="H1" s="9"/>
      <c r="I1" s="9"/>
    </row>
    <row r="2" spans="1:9" x14ac:dyDescent="0.3">
      <c r="A2" t="s">
        <v>100</v>
      </c>
    </row>
    <row r="4" spans="1:9" x14ac:dyDescent="0.3">
      <c r="A4" t="s">
        <v>101</v>
      </c>
    </row>
    <row r="5" spans="1:9" x14ac:dyDescent="0.3">
      <c r="A5" t="s">
        <v>102</v>
      </c>
    </row>
    <row r="6" spans="1:9" x14ac:dyDescent="0.3">
      <c r="A6" t="s">
        <v>103</v>
      </c>
    </row>
    <row r="8" spans="1:9" x14ac:dyDescent="0.3">
      <c r="A8" t="s">
        <v>107</v>
      </c>
      <c r="B8" s="10" t="s">
        <v>108</v>
      </c>
    </row>
    <row r="9" spans="1:9" x14ac:dyDescent="0.3">
      <c r="A9" t="s">
        <v>109</v>
      </c>
      <c r="B9" s="10" t="s">
        <v>110</v>
      </c>
    </row>
    <row r="10" spans="1:9" x14ac:dyDescent="0.3">
      <c r="A10" t="s">
        <v>111</v>
      </c>
      <c r="B10" s="10" t="s">
        <v>112</v>
      </c>
    </row>
    <row r="12" spans="1:9" x14ac:dyDescent="0.3">
      <c r="A12" t="s">
        <v>113</v>
      </c>
      <c r="B12" s="10" t="s">
        <v>114</v>
      </c>
    </row>
    <row r="13" spans="1:9" x14ac:dyDescent="0.3">
      <c r="A13" t="s">
        <v>115</v>
      </c>
      <c r="B13" s="10" t="s">
        <v>116</v>
      </c>
    </row>
    <row r="15" spans="1:9" x14ac:dyDescent="0.3">
      <c r="A15" t="s">
        <v>117</v>
      </c>
      <c r="B15" s="10" t="s">
        <v>118</v>
      </c>
    </row>
    <row r="16" spans="1:9" x14ac:dyDescent="0.3">
      <c r="A16" t="s">
        <v>104</v>
      </c>
    </row>
    <row r="17" spans="1:5" x14ac:dyDescent="0.3">
      <c r="A17" s="6" t="s">
        <v>105</v>
      </c>
      <c r="B17" s="6"/>
      <c r="C17" s="6"/>
      <c r="D17" s="6"/>
      <c r="E17" s="6"/>
    </row>
    <row r="18" spans="1:5" x14ac:dyDescent="0.3">
      <c r="A18" t="s">
        <v>119</v>
      </c>
      <c r="B18" s="10" t="s">
        <v>120</v>
      </c>
    </row>
    <row r="19" spans="1:5" x14ac:dyDescent="0.3">
      <c r="A19" t="s">
        <v>106</v>
      </c>
    </row>
    <row r="21" spans="1:5" x14ac:dyDescent="0.3">
      <c r="A21" t="s">
        <v>121</v>
      </c>
      <c r="B21" s="10" t="s">
        <v>122</v>
      </c>
    </row>
    <row r="22" spans="1:5" x14ac:dyDescent="0.3">
      <c r="A22" t="s">
        <v>123</v>
      </c>
      <c r="B22" s="10" t="s">
        <v>124</v>
      </c>
    </row>
    <row r="23" spans="1:5" x14ac:dyDescent="0.3">
      <c r="A23" t="s">
        <v>65</v>
      </c>
    </row>
  </sheetData>
  <mergeCells count="2">
    <mergeCell ref="A1:I1"/>
    <mergeCell ref="A17:E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10585-B924-465B-8945-5CE4E00C230D}">
  <sheetPr codeName="Sheet3"/>
  <dimension ref="A1:I58"/>
  <sheetViews>
    <sheetView tabSelected="1" workbookViewId="0">
      <selection activeCell="A34" sqref="A34"/>
    </sheetView>
  </sheetViews>
  <sheetFormatPr defaultRowHeight="14.4" x14ac:dyDescent="0.3"/>
  <cols>
    <col min="1" max="1" width="59.5546875" customWidth="1"/>
  </cols>
  <sheetData>
    <row r="1" spans="1:9" x14ac:dyDescent="0.3">
      <c r="A1" s="9" t="s">
        <v>37</v>
      </c>
      <c r="B1" s="9"/>
      <c r="C1" s="9"/>
      <c r="D1" s="9"/>
      <c r="E1" s="9"/>
      <c r="F1" s="9"/>
      <c r="G1" s="9"/>
      <c r="H1" s="9"/>
      <c r="I1" s="9"/>
    </row>
    <row r="2" spans="1:9" x14ac:dyDescent="0.3">
      <c r="A2" t="s">
        <v>125</v>
      </c>
    </row>
    <row r="4" spans="1:9" x14ac:dyDescent="0.3">
      <c r="A4" t="s">
        <v>126</v>
      </c>
    </row>
    <row r="6" spans="1:9" x14ac:dyDescent="0.3">
      <c r="A6" t="s">
        <v>103</v>
      </c>
    </row>
    <row r="7" spans="1:9" x14ac:dyDescent="0.3">
      <c r="A7" s="6" t="s">
        <v>127</v>
      </c>
      <c r="B7" s="6"/>
      <c r="C7" s="6"/>
    </row>
    <row r="8" spans="1:9" x14ac:dyDescent="0.3">
      <c r="A8" s="6" t="s">
        <v>128</v>
      </c>
      <c r="B8" s="6"/>
      <c r="C8" s="6"/>
      <c r="D8" s="6"/>
    </row>
    <row r="9" spans="1:9" x14ac:dyDescent="0.3">
      <c r="A9" s="6" t="s">
        <v>129</v>
      </c>
      <c r="B9" s="6"/>
      <c r="C9" s="6"/>
      <c r="D9" s="6"/>
      <c r="E9" s="6"/>
    </row>
    <row r="10" spans="1:9" x14ac:dyDescent="0.3">
      <c r="A10" t="s">
        <v>47</v>
      </c>
    </row>
    <row r="11" spans="1:9" x14ac:dyDescent="0.3">
      <c r="A11" t="s">
        <v>144</v>
      </c>
      <c r="B11" s="10" t="s">
        <v>145</v>
      </c>
    </row>
    <row r="12" spans="1:9" x14ac:dyDescent="0.3">
      <c r="A12" t="s">
        <v>47</v>
      </c>
    </row>
    <row r="13" spans="1:9" x14ac:dyDescent="0.3">
      <c r="A13" t="s">
        <v>146</v>
      </c>
    </row>
    <row r="14" spans="1:9" x14ac:dyDescent="0.3">
      <c r="A14" t="s">
        <v>47</v>
      </c>
    </row>
    <row r="15" spans="1:9" x14ac:dyDescent="0.3">
      <c r="A15" t="s">
        <v>147</v>
      </c>
      <c r="B15" s="10" t="s">
        <v>148</v>
      </c>
    </row>
    <row r="16" spans="1:9" x14ac:dyDescent="0.3">
      <c r="A16" t="s">
        <v>56</v>
      </c>
    </row>
    <row r="17" spans="1:4" x14ac:dyDescent="0.3">
      <c r="A17" t="s">
        <v>149</v>
      </c>
      <c r="B17" s="10" t="s">
        <v>150</v>
      </c>
    </row>
    <row r="18" spans="1:4" x14ac:dyDescent="0.3">
      <c r="A18" t="s">
        <v>151</v>
      </c>
      <c r="B18" s="10" t="s">
        <v>152</v>
      </c>
    </row>
    <row r="19" spans="1:4" x14ac:dyDescent="0.3">
      <c r="A19" t="s">
        <v>153</v>
      </c>
      <c r="B19" s="10" t="s">
        <v>154</v>
      </c>
    </row>
    <row r="20" spans="1:4" x14ac:dyDescent="0.3">
      <c r="A20" t="s">
        <v>56</v>
      </c>
    </row>
    <row r="21" spans="1:4" x14ac:dyDescent="0.3">
      <c r="A21" t="s">
        <v>56</v>
      </c>
    </row>
    <row r="22" spans="1:4" x14ac:dyDescent="0.3">
      <c r="A22" t="s">
        <v>155</v>
      </c>
      <c r="B22" s="10" t="s">
        <v>156</v>
      </c>
    </row>
    <row r="23" spans="1:4" x14ac:dyDescent="0.3">
      <c r="A23" t="s">
        <v>157</v>
      </c>
      <c r="B23" s="10" t="s">
        <v>158</v>
      </c>
    </row>
    <row r="24" spans="1:4" x14ac:dyDescent="0.3">
      <c r="A24" t="s">
        <v>159</v>
      </c>
      <c r="B24" s="10" t="s">
        <v>160</v>
      </c>
    </row>
    <row r="25" spans="1:4" x14ac:dyDescent="0.3">
      <c r="A25" t="s">
        <v>161</v>
      </c>
      <c r="B25" s="10" t="s">
        <v>162</v>
      </c>
    </row>
    <row r="26" spans="1:4" x14ac:dyDescent="0.3">
      <c r="A26" t="s">
        <v>163</v>
      </c>
      <c r="B26" s="10" t="s">
        <v>164</v>
      </c>
    </row>
    <row r="27" spans="1:4" x14ac:dyDescent="0.3">
      <c r="A27" t="s">
        <v>57</v>
      </c>
    </row>
    <row r="28" spans="1:4" x14ac:dyDescent="0.3">
      <c r="A28" s="11" t="s">
        <v>130</v>
      </c>
      <c r="B28" s="11"/>
      <c r="C28" s="11"/>
      <c r="D28" s="11"/>
    </row>
    <row r="29" spans="1:4" x14ac:dyDescent="0.3">
      <c r="A29" t="s">
        <v>131</v>
      </c>
    </row>
    <row r="30" spans="1:4" x14ac:dyDescent="0.3">
      <c r="A30" s="6" t="s">
        <v>132</v>
      </c>
      <c r="B30" s="6"/>
    </row>
    <row r="31" spans="1:4" x14ac:dyDescent="0.3">
      <c r="A31" s="6" t="s">
        <v>133</v>
      </c>
      <c r="B31" s="6"/>
      <c r="C31" s="6"/>
    </row>
    <row r="32" spans="1:4" x14ac:dyDescent="0.3">
      <c r="A32" t="s">
        <v>134</v>
      </c>
    </row>
    <row r="33" spans="1:7" x14ac:dyDescent="0.3">
      <c r="A33" t="s">
        <v>57</v>
      </c>
    </row>
    <row r="34" spans="1:7" x14ac:dyDescent="0.3">
      <c r="A34" s="10" t="s">
        <v>135</v>
      </c>
    </row>
    <row r="35" spans="1:7" x14ac:dyDescent="0.3">
      <c r="A35" t="s">
        <v>165</v>
      </c>
      <c r="B35" s="10" t="s">
        <v>166</v>
      </c>
    </row>
    <row r="36" spans="1:7" x14ac:dyDescent="0.3">
      <c r="A36" t="s">
        <v>167</v>
      </c>
      <c r="B36" s="10" t="s">
        <v>168</v>
      </c>
    </row>
    <row r="37" spans="1:7" x14ac:dyDescent="0.3">
      <c r="A37" t="s">
        <v>56</v>
      </c>
    </row>
    <row r="38" spans="1:7" x14ac:dyDescent="0.3">
      <c r="A38" t="s">
        <v>169</v>
      </c>
    </row>
    <row r="39" spans="1:7" x14ac:dyDescent="0.3">
      <c r="A39" t="s">
        <v>56</v>
      </c>
    </row>
    <row r="40" spans="1:7" x14ac:dyDescent="0.3">
      <c r="A40" s="11" t="s">
        <v>136</v>
      </c>
      <c r="B40" s="11"/>
      <c r="C40" s="11"/>
      <c r="D40" s="11"/>
      <c r="E40" s="11"/>
      <c r="F40" s="11"/>
      <c r="G40" s="11"/>
    </row>
    <row r="41" spans="1:7" x14ac:dyDescent="0.3">
      <c r="A41" t="s">
        <v>137</v>
      </c>
    </row>
    <row r="42" spans="1:7" x14ac:dyDescent="0.3">
      <c r="A42" t="s">
        <v>170</v>
      </c>
      <c r="B42" s="10" t="s">
        <v>171</v>
      </c>
    </row>
    <row r="43" spans="1:7" x14ac:dyDescent="0.3">
      <c r="A43" t="s">
        <v>138</v>
      </c>
    </row>
    <row r="44" spans="1:7" x14ac:dyDescent="0.3">
      <c r="A44" t="s">
        <v>139</v>
      </c>
    </row>
    <row r="45" spans="1:7" x14ac:dyDescent="0.3">
      <c r="A45" t="s">
        <v>140</v>
      </c>
    </row>
    <row r="46" spans="1:7" x14ac:dyDescent="0.3">
      <c r="A46" t="s">
        <v>57</v>
      </c>
    </row>
    <row r="47" spans="1:7" x14ac:dyDescent="0.3">
      <c r="A47" t="s">
        <v>172</v>
      </c>
      <c r="B47" s="10" t="s">
        <v>173</v>
      </c>
    </row>
    <row r="48" spans="1:7" x14ac:dyDescent="0.3">
      <c r="A48" t="s">
        <v>57</v>
      </c>
    </row>
    <row r="49" spans="1:1" x14ac:dyDescent="0.3">
      <c r="A49" t="s">
        <v>57</v>
      </c>
    </row>
    <row r="50" spans="1:1" x14ac:dyDescent="0.3">
      <c r="A50" t="s">
        <v>174</v>
      </c>
    </row>
    <row r="51" spans="1:1" x14ac:dyDescent="0.3">
      <c r="A51" t="s">
        <v>56</v>
      </c>
    </row>
    <row r="52" spans="1:1" x14ac:dyDescent="0.3">
      <c r="A52" t="s">
        <v>50</v>
      </c>
    </row>
    <row r="53" spans="1:1" x14ac:dyDescent="0.3">
      <c r="A53" t="s">
        <v>47</v>
      </c>
    </row>
    <row r="54" spans="1:1" x14ac:dyDescent="0.3">
      <c r="A54" t="s">
        <v>141</v>
      </c>
    </row>
    <row r="55" spans="1:1" x14ac:dyDescent="0.3">
      <c r="A55" t="s">
        <v>47</v>
      </c>
    </row>
    <row r="56" spans="1:1" x14ac:dyDescent="0.3">
      <c r="A56" t="s">
        <v>142</v>
      </c>
    </row>
    <row r="57" spans="1:1" x14ac:dyDescent="0.3">
      <c r="A57" t="s">
        <v>143</v>
      </c>
    </row>
    <row r="58" spans="1:1" x14ac:dyDescent="0.3">
      <c r="A58" t="s">
        <v>65</v>
      </c>
    </row>
  </sheetData>
  <mergeCells count="8">
    <mergeCell ref="A31:C31"/>
    <mergeCell ref="A40:G40"/>
    <mergeCell ref="A1:I1"/>
    <mergeCell ref="A7:C7"/>
    <mergeCell ref="A8:D8"/>
    <mergeCell ref="A9:E9"/>
    <mergeCell ref="A28:D28"/>
    <mergeCell ref="A30:B3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A45FB0D6BFAD4B940AC1E029E783CB" ma:contentTypeVersion="4" ma:contentTypeDescription="Create a new document." ma:contentTypeScope="" ma:versionID="0d806bfaae8fd149946a451fcf2fe50d">
  <xsd:schema xmlns:xsd="http://www.w3.org/2001/XMLSchema" xmlns:xs="http://www.w3.org/2001/XMLSchema" xmlns:p="http://schemas.microsoft.com/office/2006/metadata/properties" xmlns:ns2="bae4a867-4023-4b81-b4e6-76222922b8b7" targetNamespace="http://schemas.microsoft.com/office/2006/metadata/properties" ma:root="true" ma:fieldsID="248edbec972f7984c3d60bafa2ff4475" ns2:_="">
    <xsd:import namespace="bae4a867-4023-4b81-b4e6-76222922b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4a867-4023-4b81-b4e6-76222922b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F76DDC-1DC7-4103-AF6E-261990EA47B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A1E53AB-94CE-474B-8E30-162C4E7714DA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bae4a867-4023-4b81-b4e6-76222922b8b7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056199E-2B20-4EAB-9A60-B57BEFEED37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86FC0F7-3BA9-4226-8D6F-BE3A167C84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4a867-4023-4b81-b4e6-76222922b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3ef5274-90b8-4b3f-8a76-b4c36a43e904}" enabled="1" method="Standard" siteId="{61e6eeb3-5fd7-4aaa-ae3c-61e8deb09b7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Email</vt:lpstr>
      <vt:lpstr>DeptReport1</vt:lpstr>
      <vt:lpstr>DeptReport2</vt:lpstr>
      <vt:lpstr>DeptReport3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 Krey Thompson</dc:creator>
  <cp:keywords/>
  <dc:description/>
  <cp:lastModifiedBy>Jacob Thompson</cp:lastModifiedBy>
  <cp:revision/>
  <dcterms:created xsi:type="dcterms:W3CDTF">2024-09-23T17:29:56Z</dcterms:created>
  <dcterms:modified xsi:type="dcterms:W3CDTF">2024-10-10T04:47:54Z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0x010100ADA45FB0D6BFAD4B940AC1E029E783CB</vt:lpwstr>
  </property>
</Properties>
</file>